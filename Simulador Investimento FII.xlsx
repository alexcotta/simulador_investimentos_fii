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FFEE51F5-EF2A-46FD-A667-594EA7C4FE9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imulador" sheetId="1" r:id="rId1"/>
    <sheet name="Planilha Apoio" sheetId="2" r:id="rId2"/>
  </sheets>
  <definedNames>
    <definedName name="Rendimento_Mensal">Simulador!$D$13:$D$13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G7" i="2"/>
  <c r="A11" i="2"/>
  <c r="A12" i="2"/>
  <c r="A13" i="2"/>
  <c r="A14" i="2"/>
  <c r="A15" i="2"/>
  <c r="A16" i="2"/>
  <c r="A17" i="2"/>
  <c r="A18" i="2"/>
  <c r="A19" i="2"/>
  <c r="A20" i="2"/>
  <c r="A21" i="2"/>
  <c r="A10" i="2"/>
  <c r="A5" i="2"/>
  <c r="A6" i="2"/>
  <c r="A7" i="2"/>
  <c r="A8" i="2"/>
  <c r="A9" i="2"/>
  <c r="A4" i="2"/>
  <c r="D37" i="1"/>
  <c r="D38" i="1"/>
  <c r="D39" i="1"/>
  <c r="D40" i="1"/>
  <c r="D41" i="1"/>
  <c r="D36" i="1"/>
  <c r="D42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</calcChain>
</file>

<file path=xl/sharedStrings.xml><?xml version="1.0" encoding="utf-8"?>
<sst xmlns="http://schemas.openxmlformats.org/spreadsheetml/2006/main" count="70" uniqueCount="35">
  <si>
    <t>Configurações</t>
  </si>
  <si>
    <t>Salario</t>
  </si>
  <si>
    <t>Rendimento Carteira</t>
  </si>
  <si>
    <t>Sugestão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</si>
  <si>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</si>
  <si>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</si>
  <si>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</si>
  <si>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</si>
  <si>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</si>
  <si>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</si>
  <si>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</si>
  <si>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</si>
  <si>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</si>
  <si>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</si>
  <si>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</si>
  <si>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</si>
  <si>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</si>
  <si>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</si>
  <si>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</si>
  <si>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</si>
  <si>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Tipos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</si>
  <si>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</si>
  <si>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</si>
  <si>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</si>
  <si>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</si>
  <si>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</si>
  <si>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</si>
  <si>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</si>
  <si>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</si>
  <si>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Chave</t>
  </si>
  <si>
    <t>Tipo FII</t>
  </si>
  <si>
    <t>%</t>
  </si>
  <si>
    <t>Conservador</t>
  </si>
  <si>
    <t>Moderado-Papel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</si>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</sst>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rgb="FFFFFFFF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2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medium">
        <color theme="1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2" borderId="1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64" fontId="0" fillId="0" borderId="0" xfId="0" applyNumberFormat="1"/>
    <xf numFmtId="9" fontId="0" fillId="0" borderId="0" xfId="0" applyNumberFormat="1"/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0" fillId="3" borderId="17" xfId="0" applyFill="1" applyBorder="1"/>
    <xf numFmtId="8" fontId="0" fillId="3" borderId="18" xfId="0" applyNumberFormat="1" applyFill="1" applyBorder="1"/>
    <xf numFmtId="164" fontId="0" fillId="3" borderId="19" xfId="0" applyNumberFormat="1" applyFill="1" applyBorder="1"/>
    <xf numFmtId="0" fontId="0" fillId="3" borderId="20" xfId="0" applyFill="1" applyBorder="1"/>
    <xf numFmtId="8" fontId="0" fillId="3" borderId="21" xfId="0" applyNumberFormat="1" applyFill="1" applyBorder="1"/>
    <xf numFmtId="164" fontId="0" fillId="3" borderId="22" xfId="0" applyNumberFormat="1" applyFill="1" applyBorder="1"/>
    <xf numFmtId="0" fontId="0" fillId="3" borderId="23" xfId="0" applyFill="1" applyBorder="1"/>
    <xf numFmtId="8" fontId="0" fillId="3" borderId="24" xfId="0" applyNumberFormat="1" applyFill="1" applyBorder="1"/>
    <xf numFmtId="164" fontId="0" fillId="3" borderId="25" xfId="0" applyNumberFormat="1" applyFill="1" applyBorder="1"/>
    <xf numFmtId="0" fontId="7" fillId="5" borderId="1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1" xfId="0" applyNumberFormat="1" applyBorder="1" applyAlignment="1"/>
    <xf numFmtId="0" fontId="0" fillId="0" borderId="32" xfId="0" applyBorder="1" applyAlignment="1">
      <alignment horizontal="center"/>
    </xf>
    <xf numFmtId="9" fontId="0" fillId="0" borderId="33" xfId="0" applyNumberFormat="1" applyBorder="1" applyAlignment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4" fillId="0" borderId="13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4" borderId="6" xfId="0" applyFont="1" applyFill="1" applyBorder="1" applyAlignment="1">
      <alignment vertical="center"/>
    </xf>
    <xf numFmtId="10" fontId="4" fillId="4" borderId="6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8" fontId="4" fillId="3" borderId="6" xfId="0" applyNumberFormat="1" applyFont="1" applyFill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8" fontId="4" fillId="3" borderId="8" xfId="0" applyNumberFormat="1" applyFont="1" applyFill="1" applyBorder="1" applyAlignment="1">
      <alignment vertical="center"/>
    </xf>
    <xf numFmtId="0" fontId="4" fillId="6" borderId="0" xfId="0" applyFont="1" applyFill="1"/>
    <xf numFmtId="164" fontId="4" fillId="6" borderId="0" xfId="0" applyNumberFormat="1" applyFont="1" applyFill="1"/>
    <xf numFmtId="0" fontId="4" fillId="6" borderId="0" xfId="0" applyFont="1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0" borderId="3" xfId="0" applyFont="1" applyBorder="1"/>
    <xf numFmtId="164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133350</xdr:rowOff>
    </xdr:from>
    <xdr:to>
      <xdr:col>4</xdr:col>
      <xdr:colOff>352425</xdr:colOff>
      <xdr:row>8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8262C99-0B6C-F924-1400-F6841DE4F513}"/>
            </a:ext>
          </a:extLst>
        </xdr:cNvPr>
        <xdr:cNvSpPr/>
      </xdr:nvSpPr>
      <xdr:spPr>
        <a:xfrm>
          <a:off x="361950" y="133350"/>
          <a:ext cx="5143500" cy="153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showGridLines="0" workbookViewId="0">
      <selection activeCell="D33" sqref="D33"/>
    </sheetView>
  </sheetViews>
  <sheetFormatPr defaultColWidth="0" defaultRowHeight="15"/>
  <cols>
    <col min="1" max="1" width="9.140625" customWidth="1"/>
    <col min="2" max="2" width="34.7109375" bestFit="1" customWidth="1"/>
    <col min="3" max="3" width="18" customWidth="1"/>
    <col min="4" max="4" width="15.42578125" customWidth="1"/>
    <col min="5" max="5" width="7" customWidth="1"/>
    <col min="6" max="6" width="11.140625" hidden="1" customWidth="1"/>
    <col min="7" max="11" width="9.140625" hidden="1" customWidth="1"/>
    <col min="12" max="16384" width="0" hidden="1" customWidth="1"/>
  </cols>
  <sheetData>
    <row r="11" spans="2:7" ht="26.25">
      <c r="B11" s="7" t="s">
        <v>0</v>
      </c>
      <c r="C11" s="18"/>
      <c r="D11" s="8"/>
    </row>
    <row r="12" spans="2:7">
      <c r="B12" s="23" t="s">
        <v>1</v>
      </c>
      <c r="C12" s="24"/>
      <c r="D12" s="25">
        <v>5000</v>
      </c>
    </row>
    <row r="13" spans="2:7">
      <c r="B13" s="26" t="s">
        <v>2</v>
      </c>
      <c r="C13" s="22"/>
      <c r="D13" s="27">
        <v>8.0000000000000002E-3</v>
      </c>
    </row>
    <row r="14" spans="2:7">
      <c r="B14" s="28" t="s">
        <v>3</v>
      </c>
      <c r="C14" s="29"/>
      <c r="D14" s="30">
        <f>D12 * 30%</f>
        <v>1500</v>
      </c>
    </row>
    <row r="15" spans="2:7" ht="18" customHeight="1"/>
    <row r="16" spans="2:7" ht="33" customHeight="1">
      <c r="B16" s="21" t="s">
        <v>4</v>
      </c>
      <c r="C16" s="19"/>
      <c r="D16" s="20"/>
      <c r="G16" s="4"/>
    </row>
    <row r="17" spans="1:4" ht="15" customHeight="1">
      <c r="B17" s="31" t="s">
        <v>5</v>
      </c>
      <c r="C17" s="32"/>
      <c r="D17" s="33">
        <v>500</v>
      </c>
    </row>
    <row r="18" spans="1:4" ht="15" customHeight="1">
      <c r="B18" s="34" t="s">
        <v>6</v>
      </c>
      <c r="C18" s="35"/>
      <c r="D18" s="36">
        <v>5</v>
      </c>
    </row>
    <row r="19" spans="1:4" ht="15" customHeight="1">
      <c r="B19" s="34" t="s">
        <v>7</v>
      </c>
      <c r="C19" s="35"/>
      <c r="D19" s="37">
        <v>1.0789999999999999E-2</v>
      </c>
    </row>
    <row r="20" spans="1:4" ht="15" customHeight="1">
      <c r="B20" s="38" t="s">
        <v>8</v>
      </c>
      <c r="C20" s="39"/>
      <c r="D20" s="40">
        <f>FV(D19,D18*12,D17*-1)</f>
        <v>41888.456999243819</v>
      </c>
    </row>
    <row r="21" spans="1:4" ht="15" customHeight="1">
      <c r="B21" s="41" t="s">
        <v>9</v>
      </c>
      <c r="C21" s="42"/>
      <c r="D21" s="43">
        <f>D20*$D$13</f>
        <v>335.10765599395057</v>
      </c>
    </row>
    <row r="23" spans="1:4" ht="26.25">
      <c r="B23" s="21" t="s">
        <v>10</v>
      </c>
      <c r="C23" s="19"/>
      <c r="D23" s="3" t="s">
        <v>11</v>
      </c>
    </row>
    <row r="24" spans="1:4">
      <c r="A24" s="2">
        <v>2</v>
      </c>
      <c r="B24" s="9" t="s">
        <v>12</v>
      </c>
      <c r="C24" s="10">
        <f>FV($D$19,$A24*12,$D$17*-1)</f>
        <v>13613.813648822608</v>
      </c>
      <c r="D24" s="11">
        <f>C24*$D$13</f>
        <v>108.91050919058087</v>
      </c>
    </row>
    <row r="25" spans="1:4">
      <c r="A25" s="2">
        <v>5</v>
      </c>
      <c r="B25" s="12" t="s">
        <v>13</v>
      </c>
      <c r="C25" s="13">
        <f>FV($D$19,$A25*12,$D$17*-1)</f>
        <v>41888.456999243819</v>
      </c>
      <c r="D25" s="14">
        <f>C25*$D$13</f>
        <v>335.10765599395057</v>
      </c>
    </row>
    <row r="26" spans="1:4">
      <c r="A26" s="2">
        <v>10</v>
      </c>
      <c r="B26" s="12" t="s">
        <v>14</v>
      </c>
      <c r="C26" s="13">
        <f>FV($D$19,$A26*12,$D$17*-1)</f>
        <v>121642.1062650861</v>
      </c>
      <c r="D26" s="14">
        <f>C26*$D$13</f>
        <v>973.13685012068879</v>
      </c>
    </row>
    <row r="27" spans="1:4">
      <c r="A27" s="2">
        <v>20</v>
      </c>
      <c r="B27" s="12" t="s">
        <v>15</v>
      </c>
      <c r="C27" s="13">
        <f>FV($D$19,$A27*12,$D$17*-1)</f>
        <v>562599.20004854025</v>
      </c>
      <c r="D27" s="14">
        <f>C27*$D$13</f>
        <v>4500.7936003883224</v>
      </c>
    </row>
    <row r="28" spans="1:4">
      <c r="A28" s="2">
        <v>30</v>
      </c>
      <c r="B28" s="15" t="s">
        <v>16</v>
      </c>
      <c r="C28" s="16">
        <f>FV($D$19,$A28*12,$D$17*-1)</f>
        <v>2161084.8275023573</v>
      </c>
      <c r="D28" s="17">
        <f>C28*$D$13</f>
        <v>17288.678620018858</v>
      </c>
    </row>
    <row r="32" spans="1:4">
      <c r="B32" s="48" t="s">
        <v>17</v>
      </c>
      <c r="C32" s="47" t="s">
        <v>18</v>
      </c>
    </row>
    <row r="33" spans="2:4">
      <c r="B33" s="49" t="s">
        <v>19</v>
      </c>
      <c r="C33" s="50">
        <v>500</v>
      </c>
    </row>
    <row r="35" spans="2:4">
      <c r="B35" s="46" t="s">
        <v>20</v>
      </c>
      <c r="C35" s="46" t="s">
        <v>21</v>
      </c>
      <c r="D35" s="46" t="s">
        <v>22</v>
      </c>
    </row>
    <row r="36" spans="2:4">
      <c r="B36" t="s">
        <v>23</v>
      </c>
      <c r="C36" s="52">
        <f>VLOOKUP($C$32&amp;"-"&amp;B36,'Planilha Apoio'!$A3:$D21,4,FALSE)</f>
        <v>0.32</v>
      </c>
      <c r="D36" s="5">
        <f>$C$33*C36</f>
        <v>160</v>
      </c>
    </row>
    <row r="37" spans="2:4">
      <c r="B37" t="s">
        <v>24</v>
      </c>
      <c r="C37" s="52">
        <f>VLOOKUP($C$32&amp;"-"&amp;B37,'Planilha Apoio'!$A4:$D22,4,FALSE)</f>
        <v>0.35</v>
      </c>
      <c r="D37" s="5">
        <f t="shared" ref="D37:D41" si="0">$C$33*C37</f>
        <v>175</v>
      </c>
    </row>
    <row r="38" spans="2:4">
      <c r="B38" t="s">
        <v>25</v>
      </c>
      <c r="C38" s="52">
        <f>VLOOKUP($C$32&amp;"-"&amp;B38,'Planilha Apoio'!$A5:$D23,4,FALSE)</f>
        <v>0.08</v>
      </c>
      <c r="D38" s="5">
        <f t="shared" si="0"/>
        <v>40</v>
      </c>
    </row>
    <row r="39" spans="2:4">
      <c r="B39" t="s">
        <v>26</v>
      </c>
      <c r="C39" s="52">
        <f>VLOOKUP($C$32&amp;"-"&amp;B39,'Planilha Apoio'!$A6:$D24,4,FALSE)</f>
        <v>0.05</v>
      </c>
      <c r="D39" s="5">
        <f t="shared" si="0"/>
        <v>25</v>
      </c>
    </row>
    <row r="40" spans="2:4">
      <c r="B40" t="s">
        <v>27</v>
      </c>
      <c r="C40" s="52">
        <f>VLOOKUP($C$32&amp;"-"&amp;B40,'Planilha Apoio'!$A7:$D25,4,FALSE)</f>
        <v>0.1</v>
      </c>
      <c r="D40" s="5">
        <f t="shared" si="0"/>
        <v>50</v>
      </c>
    </row>
    <row r="41" spans="2:4">
      <c r="B41" t="s">
        <v>28</v>
      </c>
      <c r="C41" s="52">
        <f>VLOOKUP($C$32&amp;"-"&amp;B41,'Planilha Apoio'!$A8:$D26,4,FALSE)</f>
        <v>0.1</v>
      </c>
      <c r="D41" s="5">
        <f t="shared" si="0"/>
        <v>50</v>
      </c>
    </row>
    <row r="42" spans="2:4">
      <c r="B42" s="44"/>
      <c r="C42" s="44"/>
      <c r="D42" s="45">
        <f>SUM(D36:D41)</f>
        <v>500</v>
      </c>
    </row>
  </sheetData>
  <mergeCells count="11">
    <mergeCell ref="B23:C23"/>
    <mergeCell ref="B12:C12"/>
    <mergeCell ref="B14:C14"/>
    <mergeCell ref="B17:C17"/>
    <mergeCell ref="B18:C18"/>
    <mergeCell ref="B20:C20"/>
    <mergeCell ref="B21:C21"/>
    <mergeCell ref="B16:D16"/>
    <mergeCell ref="B13:C13"/>
    <mergeCell ref="B19:C19"/>
    <mergeCell ref="B11:D11"/>
  </mergeCells>
  <dataValidations count="1">
    <dataValidation type="list" showInputMessage="1" showErrorMessage="1" sqref="C32" xr:uid="{6A206134-052E-47DB-884E-4309AFA78474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2BDC-AB5E-4DC6-8349-F4D989398C51}">
  <dimension ref="A3:G21"/>
  <sheetViews>
    <sheetView tabSelected="1" topLeftCell="A5" workbookViewId="0">
      <selection activeCell="F15" sqref="F15"/>
    </sheetView>
  </sheetViews>
  <sheetFormatPr defaultRowHeight="15"/>
  <cols>
    <col min="1" max="1" width="27.28515625" bestFit="1" customWidth="1"/>
    <col min="2" max="2" width="11.85546875" bestFit="1" customWidth="1"/>
    <col min="3" max="3" width="15.7109375" bestFit="1" customWidth="1"/>
    <col min="6" max="6" width="15" bestFit="1" customWidth="1"/>
    <col min="7" max="7" width="18.5703125" bestFit="1" customWidth="1"/>
  </cols>
  <sheetData>
    <row r="3" spans="1:7">
      <c r="A3" t="s">
        <v>29</v>
      </c>
      <c r="B3" s="51" t="s">
        <v>17</v>
      </c>
      <c r="C3" s="51" t="s">
        <v>30</v>
      </c>
      <c r="D3" s="51" t="s">
        <v>31</v>
      </c>
    </row>
    <row r="4" spans="1:7">
      <c r="A4" t="str">
        <f>B4&amp;"-"&amp;C4</f>
        <v>Conservador-Papel</v>
      </c>
      <c r="B4" s="1" t="s">
        <v>32</v>
      </c>
      <c r="C4" s="1" t="s">
        <v>23</v>
      </c>
      <c r="D4" s="52">
        <v>0.3</v>
      </c>
    </row>
    <row r="5" spans="1:7">
      <c r="A5" t="str">
        <f t="shared" ref="A5:A21" si="0">B5&amp;"-"&amp;C5</f>
        <v>Conservador-Tijolo</v>
      </c>
      <c r="B5" s="1" t="s">
        <v>32</v>
      </c>
      <c r="C5" s="1" t="s">
        <v>24</v>
      </c>
      <c r="D5" s="52">
        <v>0.5</v>
      </c>
    </row>
    <row r="6" spans="1:7">
      <c r="A6" t="str">
        <f t="shared" si="0"/>
        <v>Conservador-Hibridos</v>
      </c>
      <c r="B6" s="1" t="s">
        <v>32</v>
      </c>
      <c r="C6" s="1" t="s">
        <v>25</v>
      </c>
      <c r="D6" s="52">
        <v>0.1</v>
      </c>
    </row>
    <row r="7" spans="1:7">
      <c r="A7" t="str">
        <f t="shared" si="0"/>
        <v>Conservador-Fofs</v>
      </c>
      <c r="B7" s="1" t="s">
        <v>32</v>
      </c>
      <c r="C7" s="1" t="s">
        <v>26</v>
      </c>
      <c r="D7" s="52">
        <v>0.1</v>
      </c>
      <c r="F7" t="s">
        <v>33</v>
      </c>
      <c r="G7" s="6">
        <f>VLOOKUP(F7,$A3:$D21,4,FALSE)</f>
        <v>0.32</v>
      </c>
    </row>
    <row r="8" spans="1:7">
      <c r="A8" t="str">
        <f t="shared" si="0"/>
        <v>Conservador-Desenvolvimento</v>
      </c>
      <c r="B8" s="1" t="s">
        <v>32</v>
      </c>
      <c r="C8" s="1" t="s">
        <v>27</v>
      </c>
      <c r="D8" s="52">
        <v>0</v>
      </c>
    </row>
    <row r="9" spans="1:7">
      <c r="A9" t="str">
        <f t="shared" si="0"/>
        <v>Conservador-Hotelaria</v>
      </c>
      <c r="B9" s="1" t="s">
        <v>32</v>
      </c>
      <c r="C9" s="1" t="s">
        <v>28</v>
      </c>
      <c r="D9" s="52">
        <v>0</v>
      </c>
    </row>
    <row r="10" spans="1:7">
      <c r="A10" t="str">
        <f t="shared" si="0"/>
        <v>Moderado-Papel</v>
      </c>
      <c r="B10" t="s">
        <v>18</v>
      </c>
      <c r="C10" s="1" t="s">
        <v>23</v>
      </c>
      <c r="D10" s="52">
        <v>0.32</v>
      </c>
    </row>
    <row r="11" spans="1:7">
      <c r="A11" t="str">
        <f t="shared" si="0"/>
        <v>Moderado-Tijolo</v>
      </c>
      <c r="B11" t="s">
        <v>18</v>
      </c>
      <c r="C11" s="1" t="s">
        <v>24</v>
      </c>
      <c r="D11" s="52">
        <v>0.35</v>
      </c>
    </row>
    <row r="12" spans="1:7">
      <c r="A12" t="str">
        <f t="shared" si="0"/>
        <v>Moderado-Hibridos</v>
      </c>
      <c r="B12" t="s">
        <v>18</v>
      </c>
      <c r="C12" s="1" t="s">
        <v>25</v>
      </c>
      <c r="D12" s="52">
        <v>0.08</v>
      </c>
    </row>
    <row r="13" spans="1:7">
      <c r="A13" t="str">
        <f t="shared" si="0"/>
        <v>Moderado-Fofs</v>
      </c>
      <c r="B13" t="s">
        <v>18</v>
      </c>
      <c r="C13" s="1" t="s">
        <v>26</v>
      </c>
      <c r="D13" s="52">
        <v>0.05</v>
      </c>
    </row>
    <row r="14" spans="1:7">
      <c r="A14" t="str">
        <f t="shared" si="0"/>
        <v>Moderado-Desenvolvimento</v>
      </c>
      <c r="B14" t="s">
        <v>18</v>
      </c>
      <c r="C14" s="1" t="s">
        <v>27</v>
      </c>
      <c r="D14" s="52">
        <v>0.1</v>
      </c>
    </row>
    <row r="15" spans="1:7">
      <c r="A15" t="str">
        <f t="shared" si="0"/>
        <v>Moderado-Hotelaria</v>
      </c>
      <c r="B15" t="s">
        <v>18</v>
      </c>
      <c r="C15" s="1" t="s">
        <v>28</v>
      </c>
      <c r="D15" s="52">
        <v>0.1</v>
      </c>
    </row>
    <row r="16" spans="1:7">
      <c r="A16" t="str">
        <f t="shared" si="0"/>
        <v>Agressivo-Papel</v>
      </c>
      <c r="B16" t="s">
        <v>34</v>
      </c>
      <c r="C16" s="1" t="s">
        <v>23</v>
      </c>
      <c r="D16" s="52">
        <v>0.5</v>
      </c>
    </row>
    <row r="17" spans="1:4">
      <c r="A17" t="str">
        <f t="shared" si="0"/>
        <v>Agressivo-Tijolo</v>
      </c>
      <c r="B17" t="s">
        <v>34</v>
      </c>
      <c r="C17" s="1" t="s">
        <v>24</v>
      </c>
      <c r="D17" s="52">
        <v>0.1</v>
      </c>
    </row>
    <row r="18" spans="1:4">
      <c r="A18" t="str">
        <f t="shared" si="0"/>
        <v>Agressivo-Hibridos</v>
      </c>
      <c r="B18" t="s">
        <v>34</v>
      </c>
      <c r="C18" s="1" t="s">
        <v>25</v>
      </c>
      <c r="D18" s="52">
        <v>0.05</v>
      </c>
    </row>
    <row r="19" spans="1:4">
      <c r="A19" t="str">
        <f t="shared" si="0"/>
        <v>Agressivo-Fofs</v>
      </c>
      <c r="B19" t="s">
        <v>34</v>
      </c>
      <c r="C19" s="1" t="s">
        <v>26</v>
      </c>
      <c r="D19" s="52">
        <v>0.05</v>
      </c>
    </row>
    <row r="20" spans="1:4">
      <c r="A20" t="str">
        <f t="shared" si="0"/>
        <v>Agressivo-Desenvolvimento</v>
      </c>
      <c r="B20" t="s">
        <v>34</v>
      </c>
      <c r="C20" s="1" t="s">
        <v>27</v>
      </c>
      <c r="D20" s="52">
        <v>0.2</v>
      </c>
    </row>
    <row r="21" spans="1:4">
      <c r="A21" t="str">
        <f t="shared" si="0"/>
        <v>Agressivo-Hotelaria</v>
      </c>
      <c r="B21" t="s">
        <v>34</v>
      </c>
      <c r="C21" s="1" t="s">
        <v>28</v>
      </c>
      <c r="D21" s="5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2025-12-17T21:57:30Z</dcterms:created>
  <dcterms:modified xsi:type="dcterms:W3CDTF">2025-12-18T00:31:20Z</dcterms:modified>
  <cp:category/>
  <cp:contentStatus/>
</cp:coreProperties>
</file>